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sblatt (Leer)" sheetId="1" state="visible" r:id="rId1"/>
    <sheet xmlns:r="http://schemas.openxmlformats.org/officeDocument/2006/relationships" name="Beispiel (Ausgefüllt)" sheetId="2" state="visible" r:id="rId2"/>
  </sheets>
  <definedNames>
    <definedName name="_xlnm.Print_Area" localSheetId="0">'Trainingsblatt (Leer)'!$A$2:$N$37</definedName>
    <definedName name="_xlnm.Print_Area" localSheetId="1">'Beispiel (Ausgefüllt)'!$A$2:$N$37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CBD5E1"/>
      <sz val="9"/>
    </font>
    <font>
      <name val="Calibri"/>
      <b val="1"/>
      <color rgb="001E293B"/>
      <sz val="9"/>
    </font>
    <font>
      <name val="Calibri"/>
      <color rgb="000F172A"/>
      <sz val="10"/>
    </font>
    <font>
      <name val="Calibri"/>
      <b val="1"/>
      <color rgb="001E40AF"/>
      <sz val="9"/>
    </font>
    <font>
      <name val="Calibri"/>
      <b val="1"/>
      <color rgb="00FFFFFF"/>
      <sz val="9"/>
    </font>
    <font>
      <name val="Calibri"/>
      <b val="1"/>
      <color rgb="001E293B"/>
      <sz val="11"/>
    </font>
    <font>
      <name val="Calibri"/>
      <b val="1"/>
      <color rgb="000F172A"/>
      <sz val="10"/>
    </font>
    <font>
      <name val="Calibri"/>
      <b val="1"/>
      <color rgb="00065F46"/>
      <sz val="10.5"/>
    </font>
    <font>
      <name val="Calibri"/>
      <b val="1"/>
      <color rgb="001E293B"/>
      <sz val="10"/>
    </font>
    <font>
      <name val="Calibri"/>
      <b val="1"/>
      <color rgb="00047857"/>
      <sz val="11"/>
    </font>
    <font>
      <name val="Calibri"/>
      <b val="1"/>
      <color rgb="00475569"/>
      <sz val="8.5"/>
    </font>
    <font>
      <name val="Calibri"/>
      <b val="1"/>
      <color rgb="001E293B"/>
      <sz val="16"/>
    </font>
    <font>
      <name val="Calibri"/>
      <b val="1"/>
      <color rgb="00047857"/>
      <sz val="20"/>
    </font>
    <font>
      <name val="Calibri"/>
      <b val="1"/>
      <color rgb="001E293B"/>
      <sz val="10.5"/>
    </font>
    <font>
      <name val="Calibri"/>
      <i val="1"/>
      <color rgb="00334155"/>
      <sz val="9.5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334155"/>
        <bgColor rgb="00334155"/>
      </patternFill>
    </fill>
    <fill>
      <patternFill patternType="solid">
        <fgColor rgb="00FFFFFF"/>
        <bgColor rgb="00FFFFFF"/>
      </patternFill>
    </fill>
    <fill>
      <patternFill patternType="solid">
        <fgColor rgb="00ECFDF5"/>
        <bgColor rgb="00ECFDF5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D1FAE5"/>
        <bgColor rgb="00D1FAE5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0" fillId="8" borderId="2" applyAlignment="1" pivotButton="0" quotePrefix="0" xfId="0">
      <alignment horizontal="right" vertical="center" indent="1"/>
    </xf>
    <xf numFmtId="0" fontId="0" fillId="8" borderId="2" pivotButton="0" quotePrefix="0" xfId="0"/>
    <xf numFmtId="0" fontId="10" fillId="8" borderId="2" applyAlignment="1" pivotButton="0" quotePrefix="0" xfId="0">
      <alignment horizontal="center" vertical="center"/>
    </xf>
    <xf numFmtId="164" fontId="11" fillId="9" borderId="2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164" fontId="14" fillId="9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N36"/>
  <sheetViews>
    <sheetView showGridLines="1" workbookViewId="0">
      <selection activeCell="A1" sqref="A1"/>
    </sheetView>
  </sheetViews>
  <sheetFormatPr baseColWidth="8" defaultRowHeight="15"/>
  <cols>
    <col width="11.5" customWidth="1" min="1" max="1"/>
    <col width="5.8" customWidth="1" min="2" max="2"/>
    <col width="5.8" customWidth="1" min="3" max="3"/>
    <col width="5.8" customWidth="1" min="4" max="4"/>
    <col width="5.8" customWidth="1" min="5" max="5"/>
    <col width="5.8" customWidth="1" min="6" max="6"/>
    <col width="5.8" customWidth="1" min="7" max="7"/>
    <col width="5.8" customWidth="1" min="8" max="8"/>
    <col width="5.8" customWidth="1" min="9" max="9"/>
    <col width="5.8" customWidth="1" min="10" max="10"/>
    <col width="5.8" customWidth="1" min="11" max="11"/>
    <col width="8.5" customWidth="1" min="12" max="12"/>
    <col width="8.5" customWidth="1" min="13" max="13"/>
    <col width="10.5" customWidth="1" min="14" max="14"/>
  </cols>
  <sheetData>
    <row r="2" ht="24" customHeight="1">
      <c r="A2" s="1" t="inlineStr">
        <is>
          <t>🎯  DARTS TRAININGSPLAN — DOPPELQUOTE</t>
        </is>
      </c>
    </row>
    <row r="3" ht="16" customHeight="1">
      <c r="A3" s="2" t="inlineStr">
        <is>
          <t>Fokusfelder: D20 • D10 • D16 • D8 • D4  |  10 Aufnahmen à 3 Darts (30 Darts pro Doppelfeld)</t>
        </is>
      </c>
    </row>
    <row r="4" ht="7" customHeight="1"/>
    <row r="5" ht="20" customHeight="1">
      <c r="A5" s="3" t="inlineStr">
        <is>
          <t>Spieler:</t>
        </is>
      </c>
      <c r="B5" s="4" t="inlineStr">
        <is>
          <t>_________________________</t>
        </is>
      </c>
      <c r="F5" s="3" t="inlineStr">
        <is>
          <t>Datum:</t>
        </is>
      </c>
      <c r="G5" s="4" t="inlineStr">
        <is>
          <t>________________</t>
        </is>
      </c>
      <c r="J5" s="3" t="inlineStr">
        <is>
          <t>Einheit Nr.:</t>
        </is>
      </c>
      <c r="K5" s="4" t="inlineStr">
        <is>
          <t>________</t>
        </is>
      </c>
      <c r="M5" s="3" t="inlineStr">
        <is>
          <t>Board:</t>
        </is>
      </c>
      <c r="N5" s="4" t="inlineStr">
        <is>
          <t>_____</t>
        </is>
      </c>
    </row>
    <row r="6" ht="6" customHeight="1"/>
    <row r="7" ht="21" customHeight="1">
      <c r="A7" s="5" t="inlineStr">
        <is>
          <t>ℹ️ Spielregeln: Wirf pro Doppel 10 Aufnahmen (je 3 Darts). Trage je Aufnahme die Treffer (0, 1, 2 oder 3) ein. Quoten berechnen sich automatisch.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</row>
    <row r="8" ht="7" customHeight="1"/>
    <row r="9" ht="22" customHeight="1">
      <c r="A9" s="7" t="inlineStr">
        <is>
          <t>Doppelfeld</t>
        </is>
      </c>
      <c r="B9" s="7" t="inlineStr">
        <is>
          <t>Aufn. 1</t>
        </is>
      </c>
      <c r="C9" s="7" t="inlineStr">
        <is>
          <t>Aufn. 2</t>
        </is>
      </c>
      <c r="D9" s="7" t="inlineStr">
        <is>
          <t>Aufn. 3</t>
        </is>
      </c>
      <c r="E9" s="7" t="inlineStr">
        <is>
          <t>Aufn. 4</t>
        </is>
      </c>
      <c r="F9" s="7" t="inlineStr">
        <is>
          <t>Aufn. 5</t>
        </is>
      </c>
      <c r="G9" s="7" t="inlineStr">
        <is>
          <t>Aufn. 6</t>
        </is>
      </c>
      <c r="H9" s="7" t="inlineStr">
        <is>
          <t>Aufn. 7</t>
        </is>
      </c>
      <c r="I9" s="7" t="inlineStr">
        <is>
          <t>Aufn. 8</t>
        </is>
      </c>
      <c r="J9" s="7" t="inlineStr">
        <is>
          <t>Aufn. 9</t>
        </is>
      </c>
      <c r="K9" s="7" t="inlineStr">
        <is>
          <t>Aufn. 10</t>
        </is>
      </c>
      <c r="L9" s="7" t="inlineStr">
        <is>
          <t>Darts</t>
        </is>
      </c>
      <c r="M9" s="7" t="inlineStr">
        <is>
          <t>Treffer</t>
        </is>
      </c>
      <c r="N9" s="7" t="inlineStr">
        <is>
          <t>Quote</t>
        </is>
      </c>
    </row>
    <row r="10" ht="21" customHeight="1">
      <c r="A10" s="8" t="inlineStr">
        <is>
          <t>D20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10" t="n">
        <v>30</v>
      </c>
      <c r="M10" s="10">
        <f>SUM(B10:K10)</f>
        <v/>
      </c>
      <c r="N10" s="11">
        <f>IF(L10&gt;0, M10/L10, 0)</f>
        <v/>
      </c>
    </row>
    <row r="11" ht="21" customHeight="1">
      <c r="A11" s="12" t="inlineStr">
        <is>
          <t>D10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4" t="n">
        <v>30</v>
      </c>
      <c r="M11" s="14">
        <f>SUM(B11:K11)</f>
        <v/>
      </c>
      <c r="N11" s="11">
        <f>IF(L11&gt;0, M11/L11, 0)</f>
        <v/>
      </c>
    </row>
    <row r="12" ht="21" customHeight="1">
      <c r="A12" s="8" t="inlineStr">
        <is>
          <t>D16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10" t="n">
        <v>30</v>
      </c>
      <c r="M12" s="10">
        <f>SUM(B12:K12)</f>
        <v/>
      </c>
      <c r="N12" s="11">
        <f>IF(L12&gt;0, M12/L12, 0)</f>
        <v/>
      </c>
    </row>
    <row r="13" ht="21" customHeight="1">
      <c r="A13" s="12" t="inlineStr">
        <is>
          <t>D8</t>
        </is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4" t="n">
        <v>30</v>
      </c>
      <c r="M13" s="14">
        <f>SUM(B13:K13)</f>
        <v/>
      </c>
      <c r="N13" s="11">
        <f>IF(L13&gt;0, M13/L13, 0)</f>
        <v/>
      </c>
    </row>
    <row r="14" ht="21" customHeight="1">
      <c r="A14" s="8" t="inlineStr">
        <is>
          <t>D4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10" t="n">
        <v>30</v>
      </c>
      <c r="M14" s="10">
        <f>SUM(B14:K14)</f>
        <v/>
      </c>
      <c r="N14" s="11">
        <f>IF(L14&gt;0, M14/L14, 0)</f>
        <v/>
      </c>
    </row>
    <row r="15" ht="24" customHeight="1">
      <c r="A15" s="15" t="inlineStr">
        <is>
          <t>GESAMT-ERGEBNIS</t>
        </is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7">
        <f>SUM(L10:L14)</f>
        <v/>
      </c>
      <c r="M15" s="17">
        <f>SUM(M10:M14)</f>
        <v/>
      </c>
      <c r="N15" s="18">
        <f>IF(L15&gt;0, M15/L15, 0)</f>
        <v/>
      </c>
    </row>
    <row r="16" ht="9" customHeight="1"/>
    <row r="17" ht="16" customHeight="1">
      <c r="A17" s="19" t="inlineStr">
        <is>
          <t>DARTS GEWORFEN</t>
        </is>
      </c>
      <c r="B17" s="6" t="n"/>
      <c r="C17" s="6" t="n"/>
      <c r="D17" s="6" t="n"/>
      <c r="E17" s="19" t="inlineStr">
        <is>
          <t>DOPPEL-TREFFER</t>
        </is>
      </c>
      <c r="F17" s="6" t="n"/>
      <c r="G17" s="6" t="n"/>
      <c r="H17" s="6" t="n"/>
      <c r="I17" s="20" t="inlineStr">
        <is>
          <t>GESAMT-DOPPELQUOTE</t>
        </is>
      </c>
      <c r="J17" s="6" t="n"/>
      <c r="K17" s="6" t="n"/>
      <c r="L17" s="6" t="n"/>
      <c r="M17" s="6" t="n"/>
      <c r="N17" s="6" t="n"/>
    </row>
    <row r="18" ht="24" customHeight="1">
      <c r="A18" s="21">
        <f>L15</f>
        <v/>
      </c>
      <c r="B18" s="6" t="n"/>
      <c r="C18" s="6" t="n"/>
      <c r="D18" s="6" t="n"/>
      <c r="E18" s="21">
        <f>M15</f>
        <v/>
      </c>
      <c r="F18" s="6" t="n"/>
      <c r="G18" s="6" t="n"/>
      <c r="H18" s="6" t="n"/>
      <c r="I18" s="22">
        <f>N15</f>
        <v/>
      </c>
      <c r="J18" s="6" t="n"/>
      <c r="K18" s="6" t="n"/>
      <c r="L18" s="6" t="n"/>
      <c r="M18" s="6" t="n"/>
      <c r="N18" s="6" t="n"/>
    </row>
    <row r="19" ht="15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 ht="9" customHeight="1"/>
    <row r="21" ht="20" customHeight="1">
      <c r="A21" s="23" t="inlineStr">
        <is>
          <t>📊 QUOTEN-ORIENTIERUNG</t>
        </is>
      </c>
      <c r="I21" s="23" t="inlineStr">
        <is>
          <t>🎯 ZUSAMMENFASSUNG NACH DOPPEL</t>
        </is>
      </c>
    </row>
    <row r="22" ht="19" customHeight="1">
      <c r="A22" s="24" t="inlineStr">
        <is>
          <t>&lt; 10%</t>
        </is>
      </c>
      <c r="B22" s="6" t="n"/>
      <c r="C22" s="25" t="inlineStr">
        <is>
          <t>Einsteiger / Kennenlernphase</t>
        </is>
      </c>
      <c r="D22" s="6" t="n"/>
      <c r="E22" s="6" t="n"/>
      <c r="F22" s="6" t="n"/>
      <c r="G22" s="6" t="n"/>
      <c r="I22" s="7" t="inlineStr">
        <is>
          <t>Doppel</t>
        </is>
      </c>
      <c r="J22" s="6" t="n"/>
      <c r="K22" s="7" t="inlineStr">
        <is>
          <t>Treffer</t>
        </is>
      </c>
      <c r="L22" s="7" t="inlineStr">
        <is>
          <t>Quote</t>
        </is>
      </c>
      <c r="M22" s="7" t="inlineStr">
        <is>
          <t>Bewertung</t>
        </is>
      </c>
      <c r="N22" s="6" t="n"/>
    </row>
    <row r="23" ht="18" customHeight="1">
      <c r="A23" s="24" t="inlineStr">
        <is>
          <t>10% – 19%</t>
        </is>
      </c>
      <c r="B23" s="6" t="n"/>
      <c r="C23" s="25" t="inlineStr">
        <is>
          <t>Fortgeschrittener Hobbyspieler</t>
        </is>
      </c>
      <c r="D23" s="6" t="n"/>
      <c r="E23" s="6" t="n"/>
      <c r="F23" s="6" t="n"/>
      <c r="G23" s="6" t="n"/>
      <c r="I23" s="24" t="inlineStr">
        <is>
          <t>D20</t>
        </is>
      </c>
      <c r="J23" s="6" t="n"/>
      <c r="K23" s="26">
        <f>M10</f>
        <v/>
      </c>
      <c r="L23" s="27">
        <f>N10</f>
        <v/>
      </c>
      <c r="M23" s="26">
        <f>IF(L23&gt;=0.3, "⭐ Sehr stark", IF(L23&gt;=0.2, "✓ Gut", IF(L23&gt;=0.1, "• Ausbaufähig", "⚠️ Mehr Training")))</f>
        <v/>
      </c>
      <c r="N23" s="6" t="n"/>
    </row>
    <row r="24" ht="18" customHeight="1">
      <c r="A24" s="24" t="inlineStr">
        <is>
          <t>20% – 30%</t>
        </is>
      </c>
      <c r="B24" s="6" t="n"/>
      <c r="C24" s="25" t="inlineStr">
        <is>
          <t>Solides Liga-Niveau</t>
        </is>
      </c>
      <c r="D24" s="6" t="n"/>
      <c r="E24" s="6" t="n"/>
      <c r="F24" s="6" t="n"/>
      <c r="G24" s="6" t="n"/>
      <c r="I24" s="24" t="inlineStr">
        <is>
          <t>D10</t>
        </is>
      </c>
      <c r="J24" s="6" t="n"/>
      <c r="K24" s="26">
        <f>M11</f>
        <v/>
      </c>
      <c r="L24" s="27">
        <f>N11</f>
        <v/>
      </c>
      <c r="M24" s="26">
        <f>IF(L24&gt;=0.3, "⭐ Sehr stark", IF(L24&gt;=0.2, "✓ Gut", IF(L24&gt;=0.1, "• Ausbaufähig", "⚠️ Mehr Training")))</f>
        <v/>
      </c>
      <c r="N24" s="6" t="n"/>
    </row>
    <row r="25" ht="18" customHeight="1">
      <c r="A25" s="24" t="inlineStr">
        <is>
          <t>&gt; 30%</t>
        </is>
      </c>
      <c r="B25" s="6" t="n"/>
      <c r="C25" s="25" t="inlineStr">
        <is>
          <t>Starker Turnierspieler / Spitzenklasse</t>
        </is>
      </c>
      <c r="D25" s="6" t="n"/>
      <c r="E25" s="6" t="n"/>
      <c r="F25" s="6" t="n"/>
      <c r="G25" s="6" t="n"/>
      <c r="I25" s="24" t="inlineStr">
        <is>
          <t>D16</t>
        </is>
      </c>
      <c r="J25" s="6" t="n"/>
      <c r="K25" s="26">
        <f>M12</f>
        <v/>
      </c>
      <c r="L25" s="27">
        <f>N12</f>
        <v/>
      </c>
      <c r="M25" s="26">
        <f>IF(L25&gt;=0.3, "⭐ Sehr stark", IF(L25&gt;=0.2, "✓ Gut", IF(L25&gt;=0.1, "• Ausbaufähig", "⚠️ Mehr Training")))</f>
        <v/>
      </c>
      <c r="N25" s="6" t="n"/>
    </row>
    <row r="26" ht="18" customHeight="1">
      <c r="I26" s="24" t="inlineStr">
        <is>
          <t>D8</t>
        </is>
      </c>
      <c r="J26" s="6" t="n"/>
      <c r="K26" s="26">
        <f>M13</f>
        <v/>
      </c>
      <c r="L26" s="27">
        <f>N13</f>
        <v/>
      </c>
      <c r="M26" s="26">
        <f>IF(L26&gt;=0.3, "⭐ Sehr stark", IF(L26&gt;=0.2, "✓ Gut", IF(L26&gt;=0.1, "• Ausbaufähig", "⚠️ Mehr Training")))</f>
        <v/>
      </c>
      <c r="N26" s="6" t="n"/>
    </row>
    <row r="27" ht="18" customHeight="1">
      <c r="I27" s="24" t="inlineStr">
        <is>
          <t>D4</t>
        </is>
      </c>
      <c r="J27" s="6" t="n"/>
      <c r="K27" s="26">
        <f>M14</f>
        <v/>
      </c>
      <c r="L27" s="27">
        <f>N14</f>
        <v/>
      </c>
      <c r="M27" s="26">
        <f>IF(L27&gt;=0.3, "⭐ Sehr stark", IF(L27&gt;=0.2, "✓ Gut", IF(L27&gt;=0.1, "• Ausbaufähig", "⚠️ Mehr Training")))</f>
        <v/>
      </c>
      <c r="N27" s="6" t="n"/>
    </row>
    <row r="28" ht="9" customHeight="1"/>
    <row r="29" ht="20" customHeight="1">
      <c r="A29" s="23" t="inlineStr">
        <is>
          <t>📝 NOTIZEN, BEOBACHTUNGEN &amp; TRAININGSFOKUS</t>
        </is>
      </c>
    </row>
    <row r="30" ht="16" customHeight="1">
      <c r="A30" s="28" t="inlineStr">
        <is>
          <t>Wurfhaltung &amp; Rhythmus: __________________________________________________________________________________________</t>
        </is>
      </c>
    </row>
    <row r="31" ht="16" customHeight="1"/>
    <row r="32" ht="16" customHeight="1">
      <c r="A32" s="28" t="inlineStr">
        <is>
          <t>Bestes Doppel heute: ___________________________  Doppel mit höchstem Trainingsbedarf: __________________________</t>
        </is>
      </c>
    </row>
    <row r="33" ht="16" customHeight="1"/>
    <row r="34" ht="16" customHeight="1">
      <c r="A34" s="28" t="inlineStr">
        <is>
          <t>Nächstes Trainingsziel: __________________________________________________________________________________________</t>
        </is>
      </c>
    </row>
    <row r="35" ht="16" customHeight="1"/>
    <row r="36" ht="16" customHeight="1">
      <c r="A36" s="28" t="inlineStr">
        <is>
          <t>Sonstiges / Mentale Verfassung: __________________________________________________________________________________</t>
        </is>
      </c>
    </row>
    <row r="37" ht="16" customHeight="1"/>
  </sheetData>
  <mergeCells count="40">
    <mergeCell ref="A17:D17"/>
    <mergeCell ref="A24:B24"/>
    <mergeCell ref="A34:N34"/>
    <mergeCell ref="C24:G24"/>
    <mergeCell ref="A15:K15"/>
    <mergeCell ref="A30:N30"/>
    <mergeCell ref="K5:L5"/>
    <mergeCell ref="I27:J27"/>
    <mergeCell ref="B5:E5"/>
    <mergeCell ref="I26:J26"/>
    <mergeCell ref="A36:N36"/>
    <mergeCell ref="I21:N21"/>
    <mergeCell ref="A25:B25"/>
    <mergeCell ref="G5:I5"/>
    <mergeCell ref="I25:J25"/>
    <mergeCell ref="C25:G25"/>
    <mergeCell ref="A7:N7"/>
    <mergeCell ref="I17:N17"/>
    <mergeCell ref="I22:J22"/>
    <mergeCell ref="C22:G22"/>
    <mergeCell ref="M22:N22"/>
    <mergeCell ref="A18:D19"/>
    <mergeCell ref="M25:N25"/>
    <mergeCell ref="A3:N3"/>
    <mergeCell ref="E17:H17"/>
    <mergeCell ref="I24:J24"/>
    <mergeCell ref="A2:N2"/>
    <mergeCell ref="I23:J23"/>
    <mergeCell ref="I18:N19"/>
    <mergeCell ref="M27:N27"/>
    <mergeCell ref="A23:B23"/>
    <mergeCell ref="C23:G23"/>
    <mergeCell ref="A32:N32"/>
    <mergeCell ref="A22:B22"/>
    <mergeCell ref="M26:N26"/>
    <mergeCell ref="M24:N24"/>
    <mergeCell ref="E18:H19"/>
    <mergeCell ref="A21:G21"/>
    <mergeCell ref="M23:N23"/>
    <mergeCell ref="A29:N29"/>
  </mergeCells>
  <pageMargins left="0.35" right="0.35" top="0.4" bottom="0.4" header="0.2" footer="0.2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N36"/>
  <sheetViews>
    <sheetView showGridLines="1" workbookViewId="0">
      <selection activeCell="A1" sqref="A1"/>
    </sheetView>
  </sheetViews>
  <sheetFormatPr baseColWidth="8" defaultRowHeight="15"/>
  <cols>
    <col width="11.5" customWidth="1" min="1" max="1"/>
    <col width="5.8" customWidth="1" min="2" max="2"/>
    <col width="5.8" customWidth="1" min="3" max="3"/>
    <col width="5.8" customWidth="1" min="4" max="4"/>
    <col width="5.8" customWidth="1" min="5" max="5"/>
    <col width="5.8" customWidth="1" min="6" max="6"/>
    <col width="5.8" customWidth="1" min="7" max="7"/>
    <col width="5.8" customWidth="1" min="8" max="8"/>
    <col width="5.8" customWidth="1" min="9" max="9"/>
    <col width="5.8" customWidth="1" min="10" max="10"/>
    <col width="5.8" customWidth="1" min="11" max="11"/>
    <col width="8.5" customWidth="1" min="12" max="12"/>
    <col width="8.5" customWidth="1" min="13" max="13"/>
    <col width="10.5" customWidth="1" min="14" max="14"/>
  </cols>
  <sheetData>
    <row r="2" ht="24" customHeight="1">
      <c r="A2" s="1" t="inlineStr">
        <is>
          <t>🎯  DARTS TRAININGSPLAN — MUSTERBEISPIEL</t>
        </is>
      </c>
    </row>
    <row r="3" ht="16" customHeight="1">
      <c r="A3" s="2" t="inlineStr">
        <is>
          <t>Fokusfelder: D20 • D10 • D16 • D8 • D4  |  10 Aufnahmen à 3 Darts (30 Darts pro Doppelfeld)</t>
        </is>
      </c>
    </row>
    <row r="4" ht="7" customHeight="1"/>
    <row r="5" ht="20" customHeight="1">
      <c r="A5" s="3" t="inlineStr">
        <is>
          <t>Spieler:</t>
        </is>
      </c>
      <c r="B5" s="29" t="inlineStr">
        <is>
          <t>Max Mustermann</t>
        </is>
      </c>
      <c r="F5" s="3" t="inlineStr">
        <is>
          <t>Datum:</t>
        </is>
      </c>
      <c r="G5" s="29" t="inlineStr">
        <is>
          <t>18.10.2026</t>
        </is>
      </c>
      <c r="J5" s="3" t="inlineStr">
        <is>
          <t>Einheit Nr.:</t>
        </is>
      </c>
      <c r="K5" s="29" t="inlineStr">
        <is>
          <t>#1</t>
        </is>
      </c>
      <c r="M5" s="3" t="inlineStr">
        <is>
          <t>Board:</t>
        </is>
      </c>
      <c r="N5" s="29" t="inlineStr">
        <is>
          <t>Board 1</t>
        </is>
      </c>
    </row>
    <row r="6" ht="6" customHeight="1"/>
    <row r="7" ht="21" customHeight="1">
      <c r="A7" s="5" t="inlineStr">
        <is>
          <t>ℹ️ Spielregeln: Wirf pro Doppel 10 Aufnahmen (je 3 Darts). Trage je Aufnahme die Treffer (0, 1, 2 oder 3) ein. Quoten berechnen sich automatisch.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</row>
    <row r="8" ht="7" customHeight="1"/>
    <row r="9" ht="22" customHeight="1">
      <c r="A9" s="7" t="inlineStr">
        <is>
          <t>Doppelfeld</t>
        </is>
      </c>
      <c r="B9" s="7" t="inlineStr">
        <is>
          <t>Aufn. 1</t>
        </is>
      </c>
      <c r="C9" s="7" t="inlineStr">
        <is>
          <t>Aufn. 2</t>
        </is>
      </c>
      <c r="D9" s="7" t="inlineStr">
        <is>
          <t>Aufn. 3</t>
        </is>
      </c>
      <c r="E9" s="7" t="inlineStr">
        <is>
          <t>Aufn. 4</t>
        </is>
      </c>
      <c r="F9" s="7" t="inlineStr">
        <is>
          <t>Aufn. 5</t>
        </is>
      </c>
      <c r="G9" s="7" t="inlineStr">
        <is>
          <t>Aufn. 6</t>
        </is>
      </c>
      <c r="H9" s="7" t="inlineStr">
        <is>
          <t>Aufn. 7</t>
        </is>
      </c>
      <c r="I9" s="7" t="inlineStr">
        <is>
          <t>Aufn. 8</t>
        </is>
      </c>
      <c r="J9" s="7" t="inlineStr">
        <is>
          <t>Aufn. 9</t>
        </is>
      </c>
      <c r="K9" s="7" t="inlineStr">
        <is>
          <t>Aufn. 10</t>
        </is>
      </c>
      <c r="L9" s="7" t="inlineStr">
        <is>
          <t>Darts</t>
        </is>
      </c>
      <c r="M9" s="7" t="inlineStr">
        <is>
          <t>Treffer</t>
        </is>
      </c>
      <c r="N9" s="7" t="inlineStr">
        <is>
          <t>Quote</t>
        </is>
      </c>
    </row>
    <row r="10" ht="21" customHeight="1">
      <c r="A10" s="8" t="inlineStr">
        <is>
          <t>D20</t>
        </is>
      </c>
      <c r="B10" s="9" t="n">
        <v>1</v>
      </c>
      <c r="C10" s="9" t="n">
        <v>0</v>
      </c>
      <c r="D10" s="9" t="n">
        <v>1</v>
      </c>
      <c r="E10" s="9" t="n">
        <v>2</v>
      </c>
      <c r="F10" s="9" t="n">
        <v>0</v>
      </c>
      <c r="G10" s="9" t="n">
        <v>1</v>
      </c>
      <c r="H10" s="9" t="n">
        <v>0</v>
      </c>
      <c r="I10" s="9" t="n">
        <v>1</v>
      </c>
      <c r="J10" s="9" t="n">
        <v>1</v>
      </c>
      <c r="K10" s="9" t="n">
        <v>0</v>
      </c>
      <c r="L10" s="10" t="n">
        <v>30</v>
      </c>
      <c r="M10" s="10">
        <f>SUM(B10:K10)</f>
        <v/>
      </c>
      <c r="N10" s="11">
        <f>IF(L10&gt;0, M10/L10, 0)</f>
        <v/>
      </c>
    </row>
    <row r="11" ht="21" customHeight="1">
      <c r="A11" s="12" t="inlineStr">
        <is>
          <t>D10</t>
        </is>
      </c>
      <c r="B11" s="13" t="n">
        <v>0</v>
      </c>
      <c r="C11" s="13" t="n">
        <v>1</v>
      </c>
      <c r="D11" s="13" t="n">
        <v>0</v>
      </c>
      <c r="E11" s="13" t="n">
        <v>0</v>
      </c>
      <c r="F11" s="13" t="n">
        <v>1</v>
      </c>
      <c r="G11" s="13" t="n">
        <v>1</v>
      </c>
      <c r="H11" s="13" t="n">
        <v>0</v>
      </c>
      <c r="I11" s="13" t="n">
        <v>0</v>
      </c>
      <c r="J11" s="13" t="n">
        <v>1</v>
      </c>
      <c r="K11" s="13" t="n">
        <v>1</v>
      </c>
      <c r="L11" s="14" t="n">
        <v>30</v>
      </c>
      <c r="M11" s="14">
        <f>SUM(B11:K11)</f>
        <v/>
      </c>
      <c r="N11" s="11">
        <f>IF(L11&gt;0, M11/L11, 0)</f>
        <v/>
      </c>
    </row>
    <row r="12" ht="21" customHeight="1">
      <c r="A12" s="8" t="inlineStr">
        <is>
          <t>D16</t>
        </is>
      </c>
      <c r="B12" s="9" t="n">
        <v>1</v>
      </c>
      <c r="C12" s="9" t="n">
        <v>1</v>
      </c>
      <c r="D12" s="9" t="n">
        <v>0</v>
      </c>
      <c r="E12" s="9" t="n">
        <v>2</v>
      </c>
      <c r="F12" s="9" t="n">
        <v>1</v>
      </c>
      <c r="G12" s="9" t="n">
        <v>0</v>
      </c>
      <c r="H12" s="9" t="n">
        <v>1</v>
      </c>
      <c r="I12" s="9" t="n">
        <v>1</v>
      </c>
      <c r="J12" s="9" t="n">
        <v>0</v>
      </c>
      <c r="K12" s="9" t="n">
        <v>1</v>
      </c>
      <c r="L12" s="10" t="n">
        <v>30</v>
      </c>
      <c r="M12" s="10">
        <f>SUM(B12:K12)</f>
        <v/>
      </c>
      <c r="N12" s="11">
        <f>IF(L12&gt;0, M12/L12, 0)</f>
        <v/>
      </c>
    </row>
    <row r="13" ht="21" customHeight="1">
      <c r="A13" s="12" t="inlineStr">
        <is>
          <t>D8</t>
        </is>
      </c>
      <c r="B13" s="13" t="n">
        <v>0</v>
      </c>
      <c r="C13" s="13" t="n">
        <v>0</v>
      </c>
      <c r="D13" s="13" t="n">
        <v>1</v>
      </c>
      <c r="E13" s="13" t="n">
        <v>0</v>
      </c>
      <c r="F13" s="13" t="n">
        <v>1</v>
      </c>
      <c r="G13" s="13" t="n">
        <v>0</v>
      </c>
      <c r="H13" s="13" t="n">
        <v>0</v>
      </c>
      <c r="I13" s="13" t="n">
        <v>1</v>
      </c>
      <c r="J13" s="13" t="n">
        <v>0</v>
      </c>
      <c r="K13" s="13" t="n">
        <v>1</v>
      </c>
      <c r="L13" s="14" t="n">
        <v>30</v>
      </c>
      <c r="M13" s="14">
        <f>SUM(B13:K13)</f>
        <v/>
      </c>
      <c r="N13" s="11">
        <f>IF(L13&gt;0, M13/L13, 0)</f>
        <v/>
      </c>
    </row>
    <row r="14" ht="21" customHeight="1">
      <c r="A14" s="8" t="inlineStr">
        <is>
          <t>D4</t>
        </is>
      </c>
      <c r="B14" s="9" t="n">
        <v>1</v>
      </c>
      <c r="C14" s="9" t="n">
        <v>0</v>
      </c>
      <c r="D14" s="9" t="n">
        <v>0</v>
      </c>
      <c r="E14" s="9" t="n">
        <v>1</v>
      </c>
      <c r="F14" s="9" t="n">
        <v>1</v>
      </c>
      <c r="G14" s="9" t="n">
        <v>0</v>
      </c>
      <c r="H14" s="9" t="n">
        <v>1</v>
      </c>
      <c r="I14" s="9" t="n">
        <v>0</v>
      </c>
      <c r="J14" s="9" t="n">
        <v>1</v>
      </c>
      <c r="K14" s="9" t="n">
        <v>1</v>
      </c>
      <c r="L14" s="10" t="n">
        <v>30</v>
      </c>
      <c r="M14" s="10">
        <f>SUM(B14:K14)</f>
        <v/>
      </c>
      <c r="N14" s="11">
        <f>IF(L14&gt;0, M14/L14, 0)</f>
        <v/>
      </c>
    </row>
    <row r="15" ht="24" customHeight="1">
      <c r="A15" s="15" t="inlineStr">
        <is>
          <t>GESAMT-ERGEBNIS</t>
        </is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7">
        <f>SUM(L10:L14)</f>
        <v/>
      </c>
      <c r="M15" s="17">
        <f>SUM(M10:M14)</f>
        <v/>
      </c>
      <c r="N15" s="18">
        <f>IF(L15&gt;0, M15/L15, 0)</f>
        <v/>
      </c>
    </row>
    <row r="16" ht="9" customHeight="1"/>
    <row r="17" ht="16" customHeight="1">
      <c r="A17" s="19" t="inlineStr">
        <is>
          <t>DARTS GEWORFEN</t>
        </is>
      </c>
      <c r="B17" s="6" t="n"/>
      <c r="C17" s="6" t="n"/>
      <c r="D17" s="6" t="n"/>
      <c r="E17" s="19" t="inlineStr">
        <is>
          <t>DOPPEL-TREFFER</t>
        </is>
      </c>
      <c r="F17" s="6" t="n"/>
      <c r="G17" s="6" t="n"/>
      <c r="H17" s="6" t="n"/>
      <c r="I17" s="20" t="inlineStr">
        <is>
          <t>GESAMT-DOPPELQUOTE</t>
        </is>
      </c>
      <c r="J17" s="6" t="n"/>
      <c r="K17" s="6" t="n"/>
      <c r="L17" s="6" t="n"/>
      <c r="M17" s="6" t="n"/>
      <c r="N17" s="6" t="n"/>
    </row>
    <row r="18" ht="24" customHeight="1">
      <c r="A18" s="21">
        <f>L15</f>
        <v/>
      </c>
      <c r="B18" s="6" t="n"/>
      <c r="C18" s="6" t="n"/>
      <c r="D18" s="6" t="n"/>
      <c r="E18" s="21">
        <f>M15</f>
        <v/>
      </c>
      <c r="F18" s="6" t="n"/>
      <c r="G18" s="6" t="n"/>
      <c r="H18" s="6" t="n"/>
      <c r="I18" s="22">
        <f>N15</f>
        <v/>
      </c>
      <c r="J18" s="6" t="n"/>
      <c r="K18" s="6" t="n"/>
      <c r="L18" s="6" t="n"/>
      <c r="M18" s="6" t="n"/>
      <c r="N18" s="6" t="n"/>
    </row>
    <row r="19" ht="15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 ht="9" customHeight="1"/>
    <row r="21" ht="20" customHeight="1">
      <c r="A21" s="23" t="inlineStr">
        <is>
          <t>📊 QUOTEN-ORIENTIERUNG</t>
        </is>
      </c>
      <c r="I21" s="23" t="inlineStr">
        <is>
          <t>🎯 ZUSAMMENFASSUNG NACH DOPPEL</t>
        </is>
      </c>
    </row>
    <row r="22" ht="19" customHeight="1">
      <c r="A22" s="24" t="inlineStr">
        <is>
          <t>&lt; 10%</t>
        </is>
      </c>
      <c r="B22" s="6" t="n"/>
      <c r="C22" s="25" t="inlineStr">
        <is>
          <t>Einsteiger / Kennenlernphase</t>
        </is>
      </c>
      <c r="D22" s="6" t="n"/>
      <c r="E22" s="6" t="n"/>
      <c r="F22" s="6" t="n"/>
      <c r="G22" s="6" t="n"/>
      <c r="I22" s="7" t="inlineStr">
        <is>
          <t>Doppel</t>
        </is>
      </c>
      <c r="J22" s="6" t="n"/>
      <c r="K22" s="7" t="inlineStr">
        <is>
          <t>Treffer</t>
        </is>
      </c>
      <c r="L22" s="7" t="inlineStr">
        <is>
          <t>Quote</t>
        </is>
      </c>
      <c r="M22" s="7" t="inlineStr">
        <is>
          <t>Bewertung</t>
        </is>
      </c>
      <c r="N22" s="6" t="n"/>
    </row>
    <row r="23" ht="18" customHeight="1">
      <c r="A23" s="24" t="inlineStr">
        <is>
          <t>10% – 19%</t>
        </is>
      </c>
      <c r="B23" s="6" t="n"/>
      <c r="C23" s="25" t="inlineStr">
        <is>
          <t>Fortgeschrittener Hobbyspieler</t>
        </is>
      </c>
      <c r="D23" s="6" t="n"/>
      <c r="E23" s="6" t="n"/>
      <c r="F23" s="6" t="n"/>
      <c r="G23" s="6" t="n"/>
      <c r="I23" s="24" t="inlineStr">
        <is>
          <t>D20</t>
        </is>
      </c>
      <c r="J23" s="6" t="n"/>
      <c r="K23" s="26">
        <f>M10</f>
        <v/>
      </c>
      <c r="L23" s="27">
        <f>N10</f>
        <v/>
      </c>
      <c r="M23" s="26">
        <f>IF(L23&gt;=0.3, "⭐ Sehr stark", IF(L23&gt;=0.2, "✓ Gut", IF(L23&gt;=0.1, "• Ausbaufähig", "⚠️ Mehr Training")))</f>
        <v/>
      </c>
      <c r="N23" s="6" t="n"/>
    </row>
    <row r="24" ht="18" customHeight="1">
      <c r="A24" s="24" t="inlineStr">
        <is>
          <t>20% – 30%</t>
        </is>
      </c>
      <c r="B24" s="6" t="n"/>
      <c r="C24" s="25" t="inlineStr">
        <is>
          <t>Solides Liga-Niveau</t>
        </is>
      </c>
      <c r="D24" s="6" t="n"/>
      <c r="E24" s="6" t="n"/>
      <c r="F24" s="6" t="n"/>
      <c r="G24" s="6" t="n"/>
      <c r="I24" s="24" t="inlineStr">
        <is>
          <t>D10</t>
        </is>
      </c>
      <c r="J24" s="6" t="n"/>
      <c r="K24" s="26">
        <f>M11</f>
        <v/>
      </c>
      <c r="L24" s="27">
        <f>N11</f>
        <v/>
      </c>
      <c r="M24" s="26">
        <f>IF(L24&gt;=0.3, "⭐ Sehr stark", IF(L24&gt;=0.2, "✓ Gut", IF(L24&gt;=0.1, "• Ausbaufähig", "⚠️ Mehr Training")))</f>
        <v/>
      </c>
      <c r="N24" s="6" t="n"/>
    </row>
    <row r="25" ht="18" customHeight="1">
      <c r="A25" s="24" t="inlineStr">
        <is>
          <t>&gt; 30%</t>
        </is>
      </c>
      <c r="B25" s="6" t="n"/>
      <c r="C25" s="25" t="inlineStr">
        <is>
          <t>Starker Turnierspieler / Spitzenklasse</t>
        </is>
      </c>
      <c r="D25" s="6" t="n"/>
      <c r="E25" s="6" t="n"/>
      <c r="F25" s="6" t="n"/>
      <c r="G25" s="6" t="n"/>
      <c r="I25" s="24" t="inlineStr">
        <is>
          <t>D16</t>
        </is>
      </c>
      <c r="J25" s="6" t="n"/>
      <c r="K25" s="26">
        <f>M12</f>
        <v/>
      </c>
      <c r="L25" s="27">
        <f>N12</f>
        <v/>
      </c>
      <c r="M25" s="26">
        <f>IF(L25&gt;=0.3, "⭐ Sehr stark", IF(L25&gt;=0.2, "✓ Gut", IF(L25&gt;=0.1, "• Ausbaufähig", "⚠️ Mehr Training")))</f>
        <v/>
      </c>
      <c r="N25" s="6" t="n"/>
    </row>
    <row r="26" ht="18" customHeight="1">
      <c r="I26" s="24" t="inlineStr">
        <is>
          <t>D8</t>
        </is>
      </c>
      <c r="J26" s="6" t="n"/>
      <c r="K26" s="26">
        <f>M13</f>
        <v/>
      </c>
      <c r="L26" s="27">
        <f>N13</f>
        <v/>
      </c>
      <c r="M26" s="26">
        <f>IF(L26&gt;=0.3, "⭐ Sehr stark", IF(L26&gt;=0.2, "✓ Gut", IF(L26&gt;=0.1, "• Ausbaufähig", "⚠️ Mehr Training")))</f>
        <v/>
      </c>
      <c r="N26" s="6" t="n"/>
    </row>
    <row r="27" ht="18" customHeight="1">
      <c r="I27" s="24" t="inlineStr">
        <is>
          <t>D4</t>
        </is>
      </c>
      <c r="J27" s="6" t="n"/>
      <c r="K27" s="26">
        <f>M14</f>
        <v/>
      </c>
      <c r="L27" s="27">
        <f>N14</f>
        <v/>
      </c>
      <c r="M27" s="26">
        <f>IF(L27&gt;=0.3, "⭐ Sehr stark", IF(L27&gt;=0.2, "✓ Gut", IF(L27&gt;=0.1, "• Ausbaufähig", "⚠️ Mehr Training")))</f>
        <v/>
      </c>
      <c r="N27" s="6" t="n"/>
    </row>
    <row r="28" ht="9" customHeight="1"/>
    <row r="29" ht="20" customHeight="1">
      <c r="A29" s="23" t="inlineStr">
        <is>
          <t>📝 NOTIZEN, BEOBACHTUNGEN &amp; TRAININGSFOKUS</t>
        </is>
      </c>
    </row>
    <row r="30" ht="16" customHeight="1">
      <c r="A30" s="28" t="inlineStr">
        <is>
          <t>Wurfhaltung &amp; Rhythmus: Guter Stand, bei D16 sehr ruhiger Armzug. Bei D8 zu schnell geworfen.</t>
        </is>
      </c>
    </row>
    <row r="31" ht="16" customHeight="1"/>
    <row r="32" ht="16" customHeight="1">
      <c r="A32" s="28" t="inlineStr">
        <is>
          <t>Bestes Doppel heute: D16 (26.7%)  |  Doppel mit Trainingsbedarf: D8 (13.3%)</t>
        </is>
      </c>
    </row>
    <row r="33" ht="16" customHeight="1"/>
    <row r="34" ht="16" customHeight="1">
      <c r="A34" s="28" t="inlineStr">
        <is>
          <t>Nächstes Trainingsziel: Fokus auf untere Boardhälfte (D8 &amp; D4) mit konstanter Schulterposition.</t>
        </is>
      </c>
    </row>
    <row r="35" ht="16" customHeight="1"/>
    <row r="36" ht="16" customHeight="1">
      <c r="A36" s="28" t="inlineStr">
        <is>
          <t>Sonstiges / Mentale Verfassung: Fokus in Aufnahmen 5-8 etwas nachgelassen, danach wieder stabil.</t>
        </is>
      </c>
    </row>
    <row r="37" ht="16" customHeight="1"/>
  </sheetData>
  <mergeCells count="40">
    <mergeCell ref="A17:D17"/>
    <mergeCell ref="A24:B24"/>
    <mergeCell ref="A34:N34"/>
    <mergeCell ref="C24:G24"/>
    <mergeCell ref="A15:K15"/>
    <mergeCell ref="A30:N30"/>
    <mergeCell ref="K5:L5"/>
    <mergeCell ref="I27:J27"/>
    <mergeCell ref="B5:E5"/>
    <mergeCell ref="I26:J26"/>
    <mergeCell ref="A36:N36"/>
    <mergeCell ref="I21:N21"/>
    <mergeCell ref="A25:B25"/>
    <mergeCell ref="G5:I5"/>
    <mergeCell ref="I25:J25"/>
    <mergeCell ref="C25:G25"/>
    <mergeCell ref="A7:N7"/>
    <mergeCell ref="I17:N17"/>
    <mergeCell ref="I22:J22"/>
    <mergeCell ref="C22:G22"/>
    <mergeCell ref="M22:N22"/>
    <mergeCell ref="A18:D19"/>
    <mergeCell ref="M25:N25"/>
    <mergeCell ref="A3:N3"/>
    <mergeCell ref="E17:H17"/>
    <mergeCell ref="I24:J24"/>
    <mergeCell ref="A2:N2"/>
    <mergeCell ref="I23:J23"/>
    <mergeCell ref="I18:N19"/>
    <mergeCell ref="M27:N27"/>
    <mergeCell ref="A23:B23"/>
    <mergeCell ref="C23:G23"/>
    <mergeCell ref="A32:N32"/>
    <mergeCell ref="A22:B22"/>
    <mergeCell ref="M26:N26"/>
    <mergeCell ref="M24:N24"/>
    <mergeCell ref="E18:H19"/>
    <mergeCell ref="A21:G21"/>
    <mergeCell ref="M23:N23"/>
    <mergeCell ref="A29:N29"/>
  </mergeCells>
  <pageMargins left="0.35" right="0.35" top="0.4" bottom="0.4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2026-10-18T08:29:00Z</dcterms:created>
  <dcterms:modified xmlns:dcterms="http://purl.org/dc/terms/" xmlns:xsi="http://www.w3.org/2001/XMLSchema-instance" xsi:type="dcterms:W3CDTF">2026-10-18T08:29:00Z</dcterms:modified>
</cp:coreProperties>
</file>